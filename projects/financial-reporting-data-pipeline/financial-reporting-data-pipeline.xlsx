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AB805F8-410E-44EC-A54F-4D9CF4D8D13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efore" sheetId="1" r:id="rId1"/>
    <sheet name="After" sheetId="3" r:id="rId2"/>
    <sheet name="Recreated using pivot tables" sheetId="5" r:id="rId3"/>
  </sheets>
  <externalReferences>
    <externalReference r:id="rId4"/>
  </externalReferences>
  <definedNames>
    <definedName name="DynamicRange">OFFSET([1]DynamicRange!$A$5,0,0,COUNTA([1]DynamicRange!$A:$A),6)</definedName>
    <definedName name="ExternalData_1" localSheetId="1" hidden="1">After!$A$1:$E$37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G15" i="1"/>
  <c r="H1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CF98B6-BA2A-43C3-BD9F-DAD771E132F1}" keepAlive="1" name="Query - Data Cleaning" description="Connection to the 'Data Cleaning' query in the workbook." type="5" refreshedVersion="8" background="1" saveData="1">
    <dbPr connection="Provider=Microsoft.Mashup.OleDb.1;Data Source=$Workbook$;Location=&quot;Data Cleaning&quot;;Extended Properties=&quot;&quot;" command="SELECT * FROM [Data Cleaning]"/>
  </connection>
</connections>
</file>

<file path=xl/sharedStrings.xml><?xml version="1.0" encoding="utf-8"?>
<sst xmlns="http://schemas.openxmlformats.org/spreadsheetml/2006/main" count="198" uniqueCount="36">
  <si>
    <t>May</t>
  </si>
  <si>
    <t>Actual</t>
  </si>
  <si>
    <t>Budget</t>
  </si>
  <si>
    <t>Variance ($)</t>
  </si>
  <si>
    <t>Revenues</t>
  </si>
  <si>
    <t>Alcoholic Beverages</t>
  </si>
  <si>
    <t>Food &amp; Non-Alc Beverages</t>
  </si>
  <si>
    <t>Incidental Revenue</t>
  </si>
  <si>
    <t>Expenses</t>
  </si>
  <si>
    <t>Cost of Sales</t>
  </si>
  <si>
    <t>Labour &amp; Benefits</t>
  </si>
  <si>
    <t>Other Operational</t>
  </si>
  <si>
    <t>Total Revenues</t>
  </si>
  <si>
    <t>Total Expenses</t>
  </si>
  <si>
    <t>Net Income (Loss)</t>
  </si>
  <si>
    <t>April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</si>
  <si>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</si>
  <si>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</si>
  <si>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</si>
  <si>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</si>
  <si>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</si>
  <si>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</si>
  <si>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</si>
  <si>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</si>
  <si>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Class</t>
  </si>
  <si>
    <t>Account</t>
  </si>
  <si>
    <t>Month</t>
  </si>
  <si>
    <t>Measure</t>
  </si>
  <si>
    <t>Amount</t>
  </si>
  <si>
    <t>Variance</t>
  </si>
  <si>
    <t>Row Labels</t>
  </si>
  <si>
    <t>Grand Total</t>
  </si>
  <si>
    <t>Column Labels</t>
  </si>
  <si>
    <t>Sum of Amount</t>
  </si>
  <si>
    <t>Revenues Total</t>
  </si>
  <si>
    <t>Expenses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</si>
</sst>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3" fontId="0" fillId="0" borderId="1" xfId="1" applyFont="1" applyBorder="1"/>
    <xf numFmtId="43" fontId="0" fillId="0" borderId="2" xfId="1" applyFont="1" applyBorder="1"/>
    <xf numFmtId="0" fontId="0" fillId="0" borderId="3" xfId="0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0" fillId="0" borderId="4" xfId="0" applyBorder="1" applyAlignment="1">
      <alignment horizontal="centerContinuous"/>
    </xf>
    <xf numFmtId="0" fontId="0" fillId="0" borderId="6" xfId="0" applyBorder="1"/>
    <xf numFmtId="43" fontId="0" fillId="0" borderId="6" xfId="1" applyFont="1" applyBorder="1"/>
    <xf numFmtId="43" fontId="0" fillId="0" borderId="0" xfId="1" applyFont="1" applyBorder="1"/>
    <xf numFmtId="43" fontId="0" fillId="0" borderId="3" xfId="1" applyFont="1" applyBorder="1"/>
    <xf numFmtId="43" fontId="0" fillId="0" borderId="5" xfId="1" applyFont="1" applyBorder="1"/>
    <xf numFmtId="0" fontId="0" fillId="0" borderId="7" xfId="0" applyBorder="1"/>
    <xf numFmtId="43" fontId="0" fillId="0" borderId="7" xfId="1" applyFont="1" applyBorder="1"/>
    <xf numFmtId="43" fontId="0" fillId="0" borderId="4" xfId="1" applyFont="1" applyBorder="1"/>
    <xf numFmtId="43" fontId="0" fillId="0" borderId="8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Comma" xfId="1" builtinId="3"/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Continuous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qTraining\Workshop\Example%20Files\Import%20basic%20data\Talking%20to%20Excel%20-%20Comple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able"/>
      <sheetName val="NamedRange"/>
      <sheetName val="DynamicRange"/>
      <sheetName val="FromCSV"/>
      <sheetName val="FromTable"/>
      <sheetName val="FromNamedRange"/>
      <sheetName val="FromDynamicRange"/>
    </sheetNames>
    <sheetDataSet>
      <sheetData sheetId="0"/>
      <sheetData sheetId="1"/>
      <sheetData sheetId="2"/>
      <sheetData sheetId="3">
        <row r="1">
          <cell r="A1" t="str">
            <v>Fred's Pet Store</v>
          </cell>
        </row>
        <row r="2">
          <cell r="A2" t="str">
            <v>Sales Listing For Month of:</v>
          </cell>
        </row>
        <row r="3">
          <cell r="A3">
            <v>41820</v>
          </cell>
        </row>
        <row r="5">
          <cell r="A5" t="str">
            <v>Date</v>
          </cell>
        </row>
        <row r="6">
          <cell r="A6">
            <v>41816</v>
          </cell>
        </row>
        <row r="7">
          <cell r="A7">
            <v>41816</v>
          </cell>
        </row>
        <row r="8">
          <cell r="A8">
            <v>41810</v>
          </cell>
        </row>
        <row r="9">
          <cell r="A9">
            <v>41811</v>
          </cell>
        </row>
        <row r="10">
          <cell r="A10">
            <v>41818</v>
          </cell>
        </row>
        <row r="11">
          <cell r="A11">
            <v>41804</v>
          </cell>
        </row>
        <row r="12">
          <cell r="A12">
            <v>41792</v>
          </cell>
        </row>
        <row r="13">
          <cell r="A13">
            <v>41813</v>
          </cell>
        </row>
        <row r="14">
          <cell r="A14">
            <v>41799</v>
          </cell>
        </row>
        <row r="15">
          <cell r="A15">
            <v>41802</v>
          </cell>
        </row>
        <row r="16">
          <cell r="A16">
            <v>41792</v>
          </cell>
        </row>
        <row r="17">
          <cell r="A17">
            <v>41791</v>
          </cell>
        </row>
        <row r="18">
          <cell r="A18">
            <v>41814</v>
          </cell>
        </row>
        <row r="19">
          <cell r="A19">
            <v>41795</v>
          </cell>
        </row>
        <row r="20">
          <cell r="A20">
            <v>41801</v>
          </cell>
        </row>
        <row r="21">
          <cell r="A21">
            <v>41815</v>
          </cell>
        </row>
        <row r="22">
          <cell r="A22">
            <v>41795</v>
          </cell>
        </row>
        <row r="23">
          <cell r="A23">
            <v>41815</v>
          </cell>
        </row>
        <row r="24">
          <cell r="A24">
            <v>41791</v>
          </cell>
        </row>
        <row r="25">
          <cell r="A25">
            <v>41817</v>
          </cell>
        </row>
        <row r="26">
          <cell r="A26">
            <v>41815</v>
          </cell>
        </row>
        <row r="27">
          <cell r="A27">
            <v>41814</v>
          </cell>
        </row>
        <row r="28">
          <cell r="A28">
            <v>41795</v>
          </cell>
        </row>
        <row r="29">
          <cell r="A29">
            <v>41815</v>
          </cell>
        </row>
        <row r="30">
          <cell r="A30">
            <v>41820</v>
          </cell>
        </row>
        <row r="31">
          <cell r="A31">
            <v>41800</v>
          </cell>
        </row>
        <row r="32">
          <cell r="A32">
            <v>41806</v>
          </cell>
        </row>
        <row r="33">
          <cell r="A33">
            <v>41795</v>
          </cell>
        </row>
        <row r="34">
          <cell r="A34">
            <v>41799</v>
          </cell>
        </row>
        <row r="35">
          <cell r="A35">
            <v>41808</v>
          </cell>
        </row>
        <row r="36">
          <cell r="A36">
            <v>41820</v>
          </cell>
        </row>
        <row r="37">
          <cell r="A37">
            <v>41805</v>
          </cell>
        </row>
        <row r="38">
          <cell r="A38">
            <v>41797</v>
          </cell>
        </row>
        <row r="39">
          <cell r="A39">
            <v>41808</v>
          </cell>
        </row>
        <row r="40">
          <cell r="A40">
            <v>41820</v>
          </cell>
        </row>
        <row r="41">
          <cell r="A41">
            <v>41815</v>
          </cell>
        </row>
        <row r="42">
          <cell r="A42">
            <v>41809</v>
          </cell>
        </row>
      </sheetData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0.852713425928" createdVersion="8" refreshedVersion="8" minRefreshableVersion="3" recordCount="36" xr:uid="{D1B7DC58-E29B-47DD-8A8D-E074727A4CB4}">
  <cacheSource type="worksheet">
    <worksheetSource name="Data_Cleaning"/>
  </cacheSource>
  <cacheFields count="5">
    <cacheField name="Class" numFmtId="0">
      <sharedItems count="2">
        <s v="Revenues"/>
        <s v="Expenses"/>
      </sharedItems>
    </cacheField>
    <cacheField name="Account" numFmtId="0">
      <sharedItems count="6">
        <s v="Alcoholic Beverages"/>
        <s v="Food &amp; Non-Alc Beverages"/>
        <s v="Incidental Revenue"/>
        <s v="Cost of Sales"/>
        <s v="Labour &amp; Benefits"/>
        <s v="Other Operational"/>
      </sharedItems>
    </cacheField>
    <cacheField name="Month" numFmtId="0">
      <sharedItems count="2">
        <s v="April"/>
        <s v="May"/>
      </sharedItems>
    </cacheField>
    <cacheField name="Measure" numFmtId="0">
      <sharedItems count="3">
        <s v="Actual"/>
        <s v="Budget"/>
        <s v="Variance"/>
      </sharedItems>
    </cacheField>
    <cacheField name="Amount" numFmtId="0">
      <sharedItems containsSemiMixedTypes="0" containsString="0" containsNumber="1" minValue="-20117.98" maxValue="711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x v="0"/>
    <n v="15747.28"/>
  </r>
  <r>
    <x v="0"/>
    <x v="0"/>
    <x v="0"/>
    <x v="1"/>
    <n v="25012"/>
  </r>
  <r>
    <x v="0"/>
    <x v="0"/>
    <x v="0"/>
    <x v="2"/>
    <n v="-9264.7199999999993"/>
  </r>
  <r>
    <x v="0"/>
    <x v="0"/>
    <x v="1"/>
    <x v="0"/>
    <n v="22133.53"/>
  </r>
  <r>
    <x v="0"/>
    <x v="0"/>
    <x v="1"/>
    <x v="1"/>
    <n v="41881"/>
  </r>
  <r>
    <x v="0"/>
    <x v="0"/>
    <x v="1"/>
    <x v="2"/>
    <n v="-19747.47"/>
  </r>
  <r>
    <x v="0"/>
    <x v="1"/>
    <x v="0"/>
    <x v="0"/>
    <n v="34523.71"/>
  </r>
  <r>
    <x v="0"/>
    <x v="1"/>
    <x v="0"/>
    <x v="1"/>
    <n v="44740"/>
  </r>
  <r>
    <x v="0"/>
    <x v="1"/>
    <x v="0"/>
    <x v="2"/>
    <n v="-10216.290000000001"/>
  </r>
  <r>
    <x v="0"/>
    <x v="1"/>
    <x v="1"/>
    <x v="0"/>
    <n v="51007.02"/>
  </r>
  <r>
    <x v="0"/>
    <x v="1"/>
    <x v="1"/>
    <x v="1"/>
    <n v="71125"/>
  </r>
  <r>
    <x v="0"/>
    <x v="1"/>
    <x v="1"/>
    <x v="2"/>
    <n v="-20117.98"/>
  </r>
  <r>
    <x v="0"/>
    <x v="2"/>
    <x v="0"/>
    <x v="0"/>
    <n v="237.79"/>
  </r>
  <r>
    <x v="0"/>
    <x v="2"/>
    <x v="0"/>
    <x v="1"/>
    <n v="3867"/>
  </r>
  <r>
    <x v="0"/>
    <x v="2"/>
    <x v="0"/>
    <x v="2"/>
    <n v="-3629.21"/>
  </r>
  <r>
    <x v="0"/>
    <x v="2"/>
    <x v="1"/>
    <x v="0"/>
    <n v="186.59"/>
  </r>
  <r>
    <x v="0"/>
    <x v="2"/>
    <x v="1"/>
    <x v="1"/>
    <n v="4334"/>
  </r>
  <r>
    <x v="0"/>
    <x v="2"/>
    <x v="1"/>
    <x v="2"/>
    <n v="-4147.41"/>
  </r>
  <r>
    <x v="1"/>
    <x v="3"/>
    <x v="0"/>
    <x v="0"/>
    <n v="21977.81"/>
  </r>
  <r>
    <x v="1"/>
    <x v="3"/>
    <x v="0"/>
    <x v="1"/>
    <n v="24296"/>
  </r>
  <r>
    <x v="1"/>
    <x v="3"/>
    <x v="0"/>
    <x v="2"/>
    <n v="2318.19"/>
  </r>
  <r>
    <x v="1"/>
    <x v="3"/>
    <x v="1"/>
    <x v="0"/>
    <n v="23442.63"/>
  </r>
  <r>
    <x v="1"/>
    <x v="3"/>
    <x v="1"/>
    <x v="1"/>
    <n v="40284"/>
  </r>
  <r>
    <x v="1"/>
    <x v="3"/>
    <x v="1"/>
    <x v="2"/>
    <n v="16841.37"/>
  </r>
  <r>
    <x v="1"/>
    <x v="4"/>
    <x v="0"/>
    <x v="0"/>
    <n v="35166.6"/>
  </r>
  <r>
    <x v="1"/>
    <x v="4"/>
    <x v="0"/>
    <x v="1"/>
    <n v="45327.25"/>
  </r>
  <r>
    <x v="1"/>
    <x v="4"/>
    <x v="0"/>
    <x v="2"/>
    <n v="10160.65"/>
  </r>
  <r>
    <x v="1"/>
    <x v="4"/>
    <x v="1"/>
    <x v="0"/>
    <n v="34266.400000000001"/>
  </r>
  <r>
    <x v="1"/>
    <x v="4"/>
    <x v="1"/>
    <x v="1"/>
    <n v="52415.5"/>
  </r>
  <r>
    <x v="1"/>
    <x v="4"/>
    <x v="1"/>
    <x v="2"/>
    <n v="18149.099999999999"/>
  </r>
  <r>
    <x v="1"/>
    <x v="5"/>
    <x v="0"/>
    <x v="0"/>
    <n v="10830.99"/>
  </r>
  <r>
    <x v="1"/>
    <x v="5"/>
    <x v="0"/>
    <x v="1"/>
    <n v="13210"/>
  </r>
  <r>
    <x v="1"/>
    <x v="5"/>
    <x v="0"/>
    <x v="2"/>
    <n v="2379.0100000000002"/>
  </r>
  <r>
    <x v="1"/>
    <x v="5"/>
    <x v="1"/>
    <x v="0"/>
    <n v="9078.01"/>
  </r>
  <r>
    <x v="1"/>
    <x v="5"/>
    <x v="1"/>
    <x v="1"/>
    <n v="14447"/>
  </r>
  <r>
    <x v="1"/>
    <x v="5"/>
    <x v="1"/>
    <x v="2"/>
    <n v="5368.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181F8-8A73-45E7-81D2-00E6AB219641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G16" firstHeaderRow="1" firstDataRow="3" firstDataCol="1"/>
  <pivotFields count="5">
    <pivotField axis="axisRow" subtotalTop="0" showAll="0" sortType="descending">
      <items count="3">
        <item x="0"/>
        <item x="1"/>
        <item t="default"/>
      </items>
    </pivotField>
    <pivotField axis="axisRow" subtotalTop="0" showAll="0">
      <items count="7">
        <item x="0"/>
        <item x="3"/>
        <item x="1"/>
        <item x="2"/>
        <item x="4"/>
        <item x="5"/>
        <item t="default"/>
      </items>
    </pivotField>
    <pivotField axis="axisCol" subtotalTop="0" showAll="0" defaultSubtotal="0">
      <items count="2">
        <item x="0"/>
        <item x="1"/>
      </items>
    </pivotField>
    <pivotField axis="axisCol" subtotalTop="0" showAll="0">
      <items count="4">
        <item x="0"/>
        <item x="1"/>
        <item x="2"/>
        <item t="default"/>
      </items>
    </pivotField>
    <pivotField dataField="1" subtotalTop="0" showAll="0"/>
  </pivotFields>
  <rowFields count="2">
    <field x="0"/>
    <field x="1"/>
  </rowFields>
  <rowItems count="11">
    <i>
      <x/>
    </i>
    <i r="1">
      <x/>
    </i>
    <i r="1">
      <x v="2"/>
    </i>
    <i r="1">
      <x v="3"/>
    </i>
    <i t="default">
      <x/>
    </i>
    <i>
      <x v="1"/>
    </i>
    <i r="1">
      <x v="1"/>
    </i>
    <i r="1">
      <x v="4"/>
    </i>
    <i r="1">
      <x v="5"/>
    </i>
    <i t="default">
      <x v="1"/>
    </i>
    <i t="grand">
      <x/>
    </i>
  </rowItems>
  <colFields count="2">
    <field x="2"/>
    <field x="3"/>
  </colFields>
  <colItems count="6">
    <i>
      <x/>
      <x/>
    </i>
    <i r="1">
      <x v="1"/>
    </i>
    <i r="1">
      <x v="2"/>
    </i>
    <i>
      <x v="1"/>
      <x/>
    </i>
    <i r="1">
      <x v="1"/>
    </i>
    <i r="1">
      <x v="2"/>
    </i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7075BF-61CE-4236-97D9-1BC5B0B4E1E9}" autoFormatId="16" applyNumberFormats="0" applyBorderFormats="0" applyFontFormats="0" applyPatternFormats="0" applyAlignmentFormats="0" applyWidthHeightFormats="0">
  <queryTableRefresh nextId="6">
    <queryTableFields count="5">
      <queryTableField id="1" name="Class" tableColumnId="1"/>
      <queryTableField id="2" name="Account" tableColumnId="2"/>
      <queryTableField id="3" name="Month" tableColumnId="3"/>
      <queryTableField id="4" name="Measure" tableColumnId="4"/>
      <queryTableField id="5" name="Amount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747DBE-10B4-47AA-BE88-84D36EEE9BDD}" name="Table1" displayName="Table1" ref="A8:H22" totalsRowShown="0" headerRowDxfId="12" dataDxfId="11" tableBorderDxfId="10" dataCellStyle="Comma">
  <autoFilter ref="A8:H22" xr:uid="{18747DBE-10B4-47AA-BE88-84D36EEE9BDD}"/>
  <tableColumns count="8">
    <tableColumn id="1" xr3:uid="{220650F5-D881-463F-B98F-76E75C5FB328}" name="Column1"/>
    <tableColumn id="2" xr3:uid="{837831E0-0CBC-4604-970E-B401FE96C389}" name="Column2"/>
    <tableColumn id="3" xr3:uid="{6A168F61-8636-445B-BCDD-D8E5A5290174}" name="Column3" dataDxfId="9" dataCellStyle="Comma"/>
    <tableColumn id="4" xr3:uid="{1FCA7604-A119-4867-A7F7-775474639851}" name="Column4" dataDxfId="8" dataCellStyle="Comma"/>
    <tableColumn id="5" xr3:uid="{0D967DFF-8A41-4459-AC99-FA7921E09FFA}" name="Column5" dataDxfId="7" dataCellStyle="Comma"/>
    <tableColumn id="6" xr3:uid="{ED36236E-1BB5-4CCF-888A-38193F5CCCBC}" name="Column6" dataDxfId="6" dataCellStyle="Comma"/>
    <tableColumn id="7" xr3:uid="{EEE62D34-B99B-4D84-845D-F13A1AAEA77D}" name="Column7" dataDxfId="5" dataCellStyle="Comma"/>
    <tableColumn id="8" xr3:uid="{7570CB96-4506-48E0-8864-4E40973B91B7}" name="Column8" dataDxfId="4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070203-CD4B-479A-BB89-3F4144C1C474}" name="Data_Cleaning" displayName="Data_Cleaning" ref="A1:E37" tableType="queryTable" totalsRowShown="0">
  <autoFilter ref="A1:E37" xr:uid="{EB070203-CD4B-479A-BB89-3F4144C1C474}"/>
  <tableColumns count="5">
    <tableColumn id="1" xr3:uid="{428D1158-4706-4211-A0F6-5E0C22039E00}" uniqueName="1" name="Class" queryTableFieldId="1" dataDxfId="3"/>
    <tableColumn id="2" xr3:uid="{6D02F64F-086E-4B9E-99C9-E5708B2A78CC}" uniqueName="2" name="Account" queryTableFieldId="2" dataDxfId="2"/>
    <tableColumn id="3" xr3:uid="{714F793D-3856-4D00-87BC-A7B1E725E0BE}" uniqueName="3" name="Month" queryTableFieldId="3" dataDxfId="1"/>
    <tableColumn id="4" xr3:uid="{9B4A0A53-CB41-4C4B-BAE9-04623CCE0210}" uniqueName="4" name="Measure" queryTableFieldId="4" dataDxfId="0"/>
    <tableColumn id="5" xr3:uid="{FF7A3398-BE43-4FB5-8363-DE21B950999F}" uniqueName="5" name="Amoun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0.749992370372631"/>
  </sheetPr>
  <dimension ref="A8:H23"/>
  <sheetViews>
    <sheetView workbookViewId="0"/>
  </sheetViews>
  <sheetFormatPr defaultRowHeight="14.4" x14ac:dyDescent="0.3"/>
  <cols>
    <col min="1" max="1" width="10.44140625" customWidth="1"/>
    <col min="2" max="2" width="24.88671875" bestFit="1" customWidth="1"/>
    <col min="3" max="8" width="11.88671875" customWidth="1"/>
  </cols>
  <sheetData>
    <row r="8" spans="1:8" x14ac:dyDescent="0.3">
      <c r="A8" t="s">
        <v>16</v>
      </c>
      <c r="B8" t="s">
        <v>17</v>
      </c>
      <c r="C8" s="3" t="s">
        <v>18</v>
      </c>
      <c r="D8" s="4" t="s">
        <v>19</v>
      </c>
      <c r="E8" s="5" t="s">
        <v>20</v>
      </c>
      <c r="F8" s="3" t="s">
        <v>21</v>
      </c>
      <c r="G8" s="4" t="s">
        <v>22</v>
      </c>
      <c r="H8" s="4" t="s">
        <v>23</v>
      </c>
    </row>
    <row r="9" spans="1:8" x14ac:dyDescent="0.3">
      <c r="C9" s="3" t="s">
        <v>15</v>
      </c>
      <c r="D9" s="4"/>
      <c r="E9" s="5"/>
      <c r="F9" s="3" t="s">
        <v>0</v>
      </c>
      <c r="G9" s="4"/>
      <c r="H9" s="4"/>
    </row>
    <row r="10" spans="1:8" x14ac:dyDescent="0.3">
      <c r="C10" s="15" t="s">
        <v>1</v>
      </c>
      <c r="D10" s="16" t="s">
        <v>2</v>
      </c>
      <c r="E10" s="17" t="s">
        <v>3</v>
      </c>
      <c r="F10" s="15" t="s">
        <v>1</v>
      </c>
      <c r="G10" s="16" t="s">
        <v>2</v>
      </c>
      <c r="H10" s="16" t="s">
        <v>3</v>
      </c>
    </row>
    <row r="11" spans="1:8" x14ac:dyDescent="0.3">
      <c r="A11" t="s">
        <v>4</v>
      </c>
      <c r="C11" s="6"/>
      <c r="E11" s="11"/>
      <c r="F11" s="6"/>
    </row>
    <row r="12" spans="1:8" x14ac:dyDescent="0.3">
      <c r="B12" t="s">
        <v>5</v>
      </c>
      <c r="C12" s="7">
        <v>15747.28</v>
      </c>
      <c r="D12" s="8">
        <v>25012</v>
      </c>
      <c r="E12" s="12">
        <v>-9264.7199999999993</v>
      </c>
      <c r="F12" s="7">
        <v>22133.53</v>
      </c>
      <c r="G12" s="8">
        <v>41881</v>
      </c>
      <c r="H12" s="8">
        <v>-19747.47</v>
      </c>
    </row>
    <row r="13" spans="1:8" x14ac:dyDescent="0.3">
      <c r="B13" t="s">
        <v>6</v>
      </c>
      <c r="C13" s="7">
        <v>34523.71</v>
      </c>
      <c r="D13" s="8">
        <v>44740</v>
      </c>
      <c r="E13" s="12">
        <v>-10216.290000000001</v>
      </c>
      <c r="F13" s="7">
        <v>51007.02</v>
      </c>
      <c r="G13" s="8">
        <v>71125</v>
      </c>
      <c r="H13" s="8">
        <v>-20117.98</v>
      </c>
    </row>
    <row r="14" spans="1:8" x14ac:dyDescent="0.3">
      <c r="B14" t="s">
        <v>7</v>
      </c>
      <c r="C14" s="7">
        <v>237.79</v>
      </c>
      <c r="D14" s="8">
        <v>3867</v>
      </c>
      <c r="E14" s="12">
        <v>-3629.21</v>
      </c>
      <c r="F14" s="7">
        <v>186.59</v>
      </c>
      <c r="G14" s="8">
        <v>4334</v>
      </c>
      <c r="H14" s="8">
        <v>-4147.41</v>
      </c>
    </row>
    <row r="15" spans="1:8" x14ac:dyDescent="0.3">
      <c r="A15" t="s">
        <v>12</v>
      </c>
      <c r="C15" s="9">
        <f t="shared" ref="C15:H15" si="0">SUM(C12:C14)</f>
        <v>50508.78</v>
      </c>
      <c r="D15" s="1">
        <f t="shared" si="0"/>
        <v>73619</v>
      </c>
      <c r="E15" s="13">
        <f t="shared" si="0"/>
        <v>-23110.22</v>
      </c>
      <c r="F15" s="9">
        <f t="shared" si="0"/>
        <v>73327.139999999985</v>
      </c>
      <c r="G15" s="1">
        <f t="shared" si="0"/>
        <v>117340</v>
      </c>
      <c r="H15" s="1">
        <f t="shared" si="0"/>
        <v>-44012.86</v>
      </c>
    </row>
    <row r="16" spans="1:8" x14ac:dyDescent="0.3">
      <c r="C16" s="6"/>
      <c r="E16" s="11"/>
      <c r="F16" s="6"/>
    </row>
    <row r="17" spans="1:8" x14ac:dyDescent="0.3">
      <c r="A17" t="s">
        <v>8</v>
      </c>
      <c r="C17" s="6"/>
      <c r="E17" s="11"/>
      <c r="F17" s="6"/>
    </row>
    <row r="18" spans="1:8" x14ac:dyDescent="0.3">
      <c r="B18" t="s">
        <v>9</v>
      </c>
      <c r="C18" s="7">
        <v>21977.81</v>
      </c>
      <c r="D18" s="8">
        <v>24296</v>
      </c>
      <c r="E18" s="12">
        <v>2318.19</v>
      </c>
      <c r="F18" s="7">
        <v>23442.63</v>
      </c>
      <c r="G18" s="8">
        <v>40284</v>
      </c>
      <c r="H18" s="8">
        <v>16841.37</v>
      </c>
    </row>
    <row r="19" spans="1:8" x14ac:dyDescent="0.3">
      <c r="B19" t="s">
        <v>10</v>
      </c>
      <c r="C19" s="7">
        <v>35166.6</v>
      </c>
      <c r="D19" s="8">
        <v>45327.25</v>
      </c>
      <c r="E19" s="12">
        <v>10160.65</v>
      </c>
      <c r="F19" s="7">
        <v>34266.400000000001</v>
      </c>
      <c r="G19" s="8">
        <v>52415.5</v>
      </c>
      <c r="H19" s="8">
        <v>18149.099999999999</v>
      </c>
    </row>
    <row r="20" spans="1:8" x14ac:dyDescent="0.3">
      <c r="B20" t="s">
        <v>11</v>
      </c>
      <c r="C20" s="7">
        <v>10830.99</v>
      </c>
      <c r="D20" s="8">
        <v>13210</v>
      </c>
      <c r="E20" s="12">
        <v>2379.0100000000002</v>
      </c>
      <c r="F20" s="7">
        <v>9078.01</v>
      </c>
      <c r="G20" s="8">
        <v>14447</v>
      </c>
      <c r="H20" s="8">
        <v>5368.99</v>
      </c>
    </row>
    <row r="21" spans="1:8" x14ac:dyDescent="0.3">
      <c r="A21" t="s">
        <v>13</v>
      </c>
      <c r="C21" s="9">
        <v>67975.399999999994</v>
      </c>
      <c r="D21" s="1">
        <v>82833.25</v>
      </c>
      <c r="E21" s="13">
        <v>14857.85</v>
      </c>
      <c r="F21" s="9">
        <v>66787.039999999994</v>
      </c>
      <c r="G21" s="1">
        <v>107146.5</v>
      </c>
      <c r="H21" s="1">
        <v>40359.46</v>
      </c>
    </row>
    <row r="22" spans="1:8" ht="15" thickBot="1" x14ac:dyDescent="0.35">
      <c r="A22" t="s">
        <v>14</v>
      </c>
      <c r="C22" s="10">
        <v>-17466.62</v>
      </c>
      <c r="D22" s="2">
        <v>-9214.25</v>
      </c>
      <c r="E22" s="14">
        <v>-8252.3700000000008</v>
      </c>
      <c r="F22" s="10">
        <v>6540.1</v>
      </c>
      <c r="G22" s="2">
        <v>10193.5</v>
      </c>
      <c r="H22" s="2">
        <v>-3653.4</v>
      </c>
    </row>
    <row r="23" spans="1:8" ht="15" thickTop="1" x14ac:dyDescent="0.3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2F34-2689-49BC-92D9-E75493D63B10}">
  <sheetPr>
    <tabColor theme="2" tint="-0.749992370372631"/>
  </sheetPr>
  <dimension ref="A1:E37"/>
  <sheetViews>
    <sheetView tabSelected="1" workbookViewId="0">
      <selection activeCell="A9" sqref="A9"/>
    </sheetView>
  </sheetViews>
  <sheetFormatPr defaultRowHeight="14.4" x14ac:dyDescent="0.3"/>
  <cols>
    <col min="1" max="1" width="8.77734375" bestFit="1" customWidth="1"/>
    <col min="2" max="2" width="23" bestFit="1" customWidth="1"/>
    <col min="3" max="3" width="9" bestFit="1" customWidth="1"/>
    <col min="4" max="4" width="10.5546875" bestFit="1" customWidth="1"/>
    <col min="5" max="5" width="10.109375" bestFit="1" customWidth="1"/>
  </cols>
  <sheetData>
    <row r="1" spans="1:5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3">
      <c r="A2" t="s">
        <v>4</v>
      </c>
      <c r="B2" t="s">
        <v>5</v>
      </c>
      <c r="C2" t="s">
        <v>15</v>
      </c>
      <c r="D2" t="s">
        <v>1</v>
      </c>
      <c r="E2">
        <v>15747.28</v>
      </c>
    </row>
    <row r="3" spans="1:5" x14ac:dyDescent="0.3">
      <c r="A3" t="s">
        <v>4</v>
      </c>
      <c r="B3" t="s">
        <v>5</v>
      </c>
      <c r="C3" t="s">
        <v>15</v>
      </c>
      <c r="D3" t="s">
        <v>2</v>
      </c>
      <c r="E3">
        <v>25012</v>
      </c>
    </row>
    <row r="4" spans="1:5" x14ac:dyDescent="0.3">
      <c r="A4" t="s">
        <v>4</v>
      </c>
      <c r="B4" t="s">
        <v>5</v>
      </c>
      <c r="C4" t="s">
        <v>15</v>
      </c>
      <c r="D4" t="s">
        <v>29</v>
      </c>
      <c r="E4">
        <v>-9264.7199999999993</v>
      </c>
    </row>
    <row r="5" spans="1:5" x14ac:dyDescent="0.3">
      <c r="A5" t="s">
        <v>4</v>
      </c>
      <c r="B5" t="s">
        <v>5</v>
      </c>
      <c r="C5" t="s">
        <v>0</v>
      </c>
      <c r="D5" t="s">
        <v>1</v>
      </c>
      <c r="E5">
        <v>22133.53</v>
      </c>
    </row>
    <row r="6" spans="1:5" x14ac:dyDescent="0.3">
      <c r="A6" t="s">
        <v>4</v>
      </c>
      <c r="B6" t="s">
        <v>5</v>
      </c>
      <c r="C6" t="s">
        <v>0</v>
      </c>
      <c r="D6" t="s">
        <v>2</v>
      </c>
      <c r="E6">
        <v>41881</v>
      </c>
    </row>
    <row r="7" spans="1:5" x14ac:dyDescent="0.3">
      <c r="A7" t="s">
        <v>4</v>
      </c>
      <c r="B7" t="s">
        <v>5</v>
      </c>
      <c r="C7" t="s">
        <v>0</v>
      </c>
      <c r="D7" t="s">
        <v>29</v>
      </c>
      <c r="E7">
        <v>-19747.47</v>
      </c>
    </row>
    <row r="8" spans="1:5" x14ac:dyDescent="0.3">
      <c r="A8" t="s">
        <v>4</v>
      </c>
      <c r="B8" t="s">
        <v>6</v>
      </c>
      <c r="C8" t="s">
        <v>15</v>
      </c>
      <c r="D8" t="s">
        <v>1</v>
      </c>
      <c r="E8">
        <v>34523.71</v>
      </c>
    </row>
    <row r="9" spans="1:5" x14ac:dyDescent="0.3">
      <c r="A9" t="s">
        <v>4</v>
      </c>
      <c r="B9" t="s">
        <v>6</v>
      </c>
      <c r="C9" t="s">
        <v>15</v>
      </c>
      <c r="D9" t="s">
        <v>2</v>
      </c>
      <c r="E9">
        <v>44740</v>
      </c>
    </row>
    <row r="10" spans="1:5" x14ac:dyDescent="0.3">
      <c r="A10" t="s">
        <v>4</v>
      </c>
      <c r="B10" t="s">
        <v>6</v>
      </c>
      <c r="C10" t="s">
        <v>15</v>
      </c>
      <c r="D10" t="s">
        <v>29</v>
      </c>
      <c r="E10">
        <v>-10216.290000000001</v>
      </c>
    </row>
    <row r="11" spans="1:5" x14ac:dyDescent="0.3">
      <c r="A11" t="s">
        <v>4</v>
      </c>
      <c r="B11" t="s">
        <v>6</v>
      </c>
      <c r="C11" t="s">
        <v>0</v>
      </c>
      <c r="D11" t="s">
        <v>1</v>
      </c>
      <c r="E11">
        <v>51007.02</v>
      </c>
    </row>
    <row r="12" spans="1:5" x14ac:dyDescent="0.3">
      <c r="A12" t="s">
        <v>4</v>
      </c>
      <c r="B12" t="s">
        <v>6</v>
      </c>
      <c r="C12" t="s">
        <v>0</v>
      </c>
      <c r="D12" t="s">
        <v>2</v>
      </c>
      <c r="E12">
        <v>71125</v>
      </c>
    </row>
    <row r="13" spans="1:5" x14ac:dyDescent="0.3">
      <c r="A13" t="s">
        <v>4</v>
      </c>
      <c r="B13" t="s">
        <v>6</v>
      </c>
      <c r="C13" t="s">
        <v>0</v>
      </c>
      <c r="D13" t="s">
        <v>29</v>
      </c>
      <c r="E13">
        <v>-20117.98</v>
      </c>
    </row>
    <row r="14" spans="1:5" x14ac:dyDescent="0.3">
      <c r="A14" t="s">
        <v>4</v>
      </c>
      <c r="B14" t="s">
        <v>7</v>
      </c>
      <c r="C14" t="s">
        <v>15</v>
      </c>
      <c r="D14" t="s">
        <v>1</v>
      </c>
      <c r="E14">
        <v>237.79</v>
      </c>
    </row>
    <row r="15" spans="1:5" x14ac:dyDescent="0.3">
      <c r="A15" t="s">
        <v>4</v>
      </c>
      <c r="B15" t="s">
        <v>7</v>
      </c>
      <c r="C15" t="s">
        <v>15</v>
      </c>
      <c r="D15" t="s">
        <v>2</v>
      </c>
      <c r="E15">
        <v>3867</v>
      </c>
    </row>
    <row r="16" spans="1:5" x14ac:dyDescent="0.3">
      <c r="A16" t="s">
        <v>4</v>
      </c>
      <c r="B16" t="s">
        <v>7</v>
      </c>
      <c r="C16" t="s">
        <v>15</v>
      </c>
      <c r="D16" t="s">
        <v>29</v>
      </c>
      <c r="E16">
        <v>-3629.21</v>
      </c>
    </row>
    <row r="17" spans="1:5" x14ac:dyDescent="0.3">
      <c r="A17" t="s">
        <v>4</v>
      </c>
      <c r="B17" t="s">
        <v>7</v>
      </c>
      <c r="C17" t="s">
        <v>0</v>
      </c>
      <c r="D17" t="s">
        <v>1</v>
      </c>
      <c r="E17">
        <v>186.59</v>
      </c>
    </row>
    <row r="18" spans="1:5" x14ac:dyDescent="0.3">
      <c r="A18" t="s">
        <v>4</v>
      </c>
      <c r="B18" t="s">
        <v>7</v>
      </c>
      <c r="C18" t="s">
        <v>0</v>
      </c>
      <c r="D18" t="s">
        <v>2</v>
      </c>
      <c r="E18">
        <v>4334</v>
      </c>
    </row>
    <row r="19" spans="1:5" x14ac:dyDescent="0.3">
      <c r="A19" t="s">
        <v>4</v>
      </c>
      <c r="B19" t="s">
        <v>7</v>
      </c>
      <c r="C19" t="s">
        <v>0</v>
      </c>
      <c r="D19" t="s">
        <v>29</v>
      </c>
      <c r="E19">
        <v>-4147.41</v>
      </c>
    </row>
    <row r="20" spans="1:5" x14ac:dyDescent="0.3">
      <c r="A20" t="s">
        <v>8</v>
      </c>
      <c r="B20" t="s">
        <v>9</v>
      </c>
      <c r="C20" t="s">
        <v>15</v>
      </c>
      <c r="D20" t="s">
        <v>1</v>
      </c>
      <c r="E20">
        <v>21977.81</v>
      </c>
    </row>
    <row r="21" spans="1:5" x14ac:dyDescent="0.3">
      <c r="A21" t="s">
        <v>8</v>
      </c>
      <c r="B21" t="s">
        <v>9</v>
      </c>
      <c r="C21" t="s">
        <v>15</v>
      </c>
      <c r="D21" t="s">
        <v>2</v>
      </c>
      <c r="E21">
        <v>24296</v>
      </c>
    </row>
    <row r="22" spans="1:5" x14ac:dyDescent="0.3">
      <c r="A22" t="s">
        <v>8</v>
      </c>
      <c r="B22" t="s">
        <v>9</v>
      </c>
      <c r="C22" t="s">
        <v>15</v>
      </c>
      <c r="D22" t="s">
        <v>29</v>
      </c>
      <c r="E22">
        <v>2318.19</v>
      </c>
    </row>
    <row r="23" spans="1:5" x14ac:dyDescent="0.3">
      <c r="A23" t="s">
        <v>8</v>
      </c>
      <c r="B23" t="s">
        <v>9</v>
      </c>
      <c r="C23" t="s">
        <v>0</v>
      </c>
      <c r="D23" t="s">
        <v>1</v>
      </c>
      <c r="E23">
        <v>23442.63</v>
      </c>
    </row>
    <row r="24" spans="1:5" x14ac:dyDescent="0.3">
      <c r="A24" t="s">
        <v>8</v>
      </c>
      <c r="B24" t="s">
        <v>9</v>
      </c>
      <c r="C24" t="s">
        <v>0</v>
      </c>
      <c r="D24" t="s">
        <v>2</v>
      </c>
      <c r="E24">
        <v>40284</v>
      </c>
    </row>
    <row r="25" spans="1:5" x14ac:dyDescent="0.3">
      <c r="A25" t="s">
        <v>8</v>
      </c>
      <c r="B25" t="s">
        <v>9</v>
      </c>
      <c r="C25" t="s">
        <v>0</v>
      </c>
      <c r="D25" t="s">
        <v>29</v>
      </c>
      <c r="E25">
        <v>16841.37</v>
      </c>
    </row>
    <row r="26" spans="1:5" x14ac:dyDescent="0.3">
      <c r="A26" t="s">
        <v>8</v>
      </c>
      <c r="B26" t="s">
        <v>10</v>
      </c>
      <c r="C26" t="s">
        <v>15</v>
      </c>
      <c r="D26" t="s">
        <v>1</v>
      </c>
      <c r="E26">
        <v>35166.6</v>
      </c>
    </row>
    <row r="27" spans="1:5" x14ac:dyDescent="0.3">
      <c r="A27" t="s">
        <v>8</v>
      </c>
      <c r="B27" t="s">
        <v>10</v>
      </c>
      <c r="C27" t="s">
        <v>15</v>
      </c>
      <c r="D27" t="s">
        <v>2</v>
      </c>
      <c r="E27">
        <v>45327.25</v>
      </c>
    </row>
    <row r="28" spans="1:5" x14ac:dyDescent="0.3">
      <c r="A28" t="s">
        <v>8</v>
      </c>
      <c r="B28" t="s">
        <v>10</v>
      </c>
      <c r="C28" t="s">
        <v>15</v>
      </c>
      <c r="D28" t="s">
        <v>29</v>
      </c>
      <c r="E28">
        <v>10160.65</v>
      </c>
    </row>
    <row r="29" spans="1:5" x14ac:dyDescent="0.3">
      <c r="A29" t="s">
        <v>8</v>
      </c>
      <c r="B29" t="s">
        <v>10</v>
      </c>
      <c r="C29" t="s">
        <v>0</v>
      </c>
      <c r="D29" t="s">
        <v>1</v>
      </c>
      <c r="E29">
        <v>34266.400000000001</v>
      </c>
    </row>
    <row r="30" spans="1:5" x14ac:dyDescent="0.3">
      <c r="A30" t="s">
        <v>8</v>
      </c>
      <c r="B30" t="s">
        <v>10</v>
      </c>
      <c r="C30" t="s">
        <v>0</v>
      </c>
      <c r="D30" t="s">
        <v>2</v>
      </c>
      <c r="E30">
        <v>52415.5</v>
      </c>
    </row>
    <row r="31" spans="1:5" x14ac:dyDescent="0.3">
      <c r="A31" t="s">
        <v>8</v>
      </c>
      <c r="B31" t="s">
        <v>10</v>
      </c>
      <c r="C31" t="s">
        <v>0</v>
      </c>
      <c r="D31" t="s">
        <v>29</v>
      </c>
      <c r="E31">
        <v>18149.099999999999</v>
      </c>
    </row>
    <row r="32" spans="1:5" x14ac:dyDescent="0.3">
      <c r="A32" t="s">
        <v>8</v>
      </c>
      <c r="B32" t="s">
        <v>11</v>
      </c>
      <c r="C32" t="s">
        <v>15</v>
      </c>
      <c r="D32" t="s">
        <v>1</v>
      </c>
      <c r="E32">
        <v>10830.99</v>
      </c>
    </row>
    <row r="33" spans="1:5" x14ac:dyDescent="0.3">
      <c r="A33" t="s">
        <v>8</v>
      </c>
      <c r="B33" t="s">
        <v>11</v>
      </c>
      <c r="C33" t="s">
        <v>15</v>
      </c>
      <c r="D33" t="s">
        <v>2</v>
      </c>
      <c r="E33">
        <v>13210</v>
      </c>
    </row>
    <row r="34" spans="1:5" x14ac:dyDescent="0.3">
      <c r="A34" t="s">
        <v>8</v>
      </c>
      <c r="B34" t="s">
        <v>11</v>
      </c>
      <c r="C34" t="s">
        <v>15</v>
      </c>
      <c r="D34" t="s">
        <v>29</v>
      </c>
      <c r="E34">
        <v>2379.0100000000002</v>
      </c>
    </row>
    <row r="35" spans="1:5" x14ac:dyDescent="0.3">
      <c r="A35" t="s">
        <v>8</v>
      </c>
      <c r="B35" t="s">
        <v>11</v>
      </c>
      <c r="C35" t="s">
        <v>0</v>
      </c>
      <c r="D35" t="s">
        <v>1</v>
      </c>
      <c r="E35">
        <v>9078.01</v>
      </c>
    </row>
    <row r="36" spans="1:5" x14ac:dyDescent="0.3">
      <c r="A36" t="s">
        <v>8</v>
      </c>
      <c r="B36" t="s">
        <v>11</v>
      </c>
      <c r="C36" t="s">
        <v>0</v>
      </c>
      <c r="D36" t="s">
        <v>2</v>
      </c>
      <c r="E36">
        <v>14447</v>
      </c>
    </row>
    <row r="37" spans="1:5" x14ac:dyDescent="0.3">
      <c r="A37" t="s">
        <v>8</v>
      </c>
      <c r="B37" t="s">
        <v>11</v>
      </c>
      <c r="C37" t="s">
        <v>0</v>
      </c>
      <c r="D37" t="s">
        <v>29</v>
      </c>
      <c r="E37">
        <v>5368.99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EBA5-0A49-4620-A4FD-ED8F8CB0343A}">
  <sheetPr>
    <tabColor theme="2" tint="-0.749992370372631"/>
  </sheetPr>
  <dimension ref="A3:G16"/>
  <sheetViews>
    <sheetView workbookViewId="0">
      <selection activeCell="E5" sqref="E5"/>
    </sheetView>
  </sheetViews>
  <sheetFormatPr defaultRowHeight="14.4" x14ac:dyDescent="0.3"/>
  <cols>
    <col min="1" max="1" width="27" bestFit="1" customWidth="1"/>
    <col min="2" max="2" width="15.5546875" bestFit="1" customWidth="1"/>
    <col min="3" max="3" width="10" bestFit="1" customWidth="1"/>
    <col min="4" max="4" width="9.6640625" bestFit="1" customWidth="1"/>
    <col min="5" max="5" width="10" bestFit="1" customWidth="1"/>
    <col min="6" max="6" width="9" bestFit="1" customWidth="1"/>
    <col min="7" max="8" width="9.6640625" bestFit="1" customWidth="1"/>
    <col min="9" max="9" width="10" bestFit="1" customWidth="1"/>
    <col min="10" max="10" width="10.77734375" bestFit="1" customWidth="1"/>
  </cols>
  <sheetData>
    <row r="3" spans="1:7" x14ac:dyDescent="0.3">
      <c r="A3" s="18" t="s">
        <v>33</v>
      </c>
      <c r="B3" s="18" t="s">
        <v>32</v>
      </c>
    </row>
    <row r="4" spans="1:7" x14ac:dyDescent="0.3">
      <c r="B4" t="s">
        <v>15</v>
      </c>
      <c r="E4" t="s">
        <v>0</v>
      </c>
    </row>
    <row r="5" spans="1:7" x14ac:dyDescent="0.3">
      <c r="A5" s="18" t="s">
        <v>30</v>
      </c>
      <c r="B5" t="s">
        <v>1</v>
      </c>
      <c r="C5" t="s">
        <v>2</v>
      </c>
      <c r="D5" t="s">
        <v>29</v>
      </c>
      <c r="E5" t="s">
        <v>1</v>
      </c>
      <c r="F5" t="s">
        <v>2</v>
      </c>
      <c r="G5" t="s">
        <v>29</v>
      </c>
    </row>
    <row r="6" spans="1:7" x14ac:dyDescent="0.3">
      <c r="A6" s="19" t="s">
        <v>4</v>
      </c>
    </row>
    <row r="7" spans="1:7" x14ac:dyDescent="0.3">
      <c r="A7" s="20" t="s">
        <v>5</v>
      </c>
      <c r="B7">
        <v>15747.28</v>
      </c>
      <c r="C7">
        <v>25012</v>
      </c>
      <c r="D7">
        <v>-9264.7199999999993</v>
      </c>
      <c r="E7">
        <v>22133.53</v>
      </c>
      <c r="F7">
        <v>41881</v>
      </c>
      <c r="G7">
        <v>-19747.47</v>
      </c>
    </row>
    <row r="8" spans="1:7" x14ac:dyDescent="0.3">
      <c r="A8" s="20" t="s">
        <v>6</v>
      </c>
      <c r="B8">
        <v>34523.71</v>
      </c>
      <c r="C8">
        <v>44740</v>
      </c>
      <c r="D8">
        <v>-10216.290000000001</v>
      </c>
      <c r="E8">
        <v>51007.02</v>
      </c>
      <c r="F8">
        <v>71125</v>
      </c>
      <c r="G8">
        <v>-20117.98</v>
      </c>
    </row>
    <row r="9" spans="1:7" x14ac:dyDescent="0.3">
      <c r="A9" s="20" t="s">
        <v>7</v>
      </c>
      <c r="B9">
        <v>237.79</v>
      </c>
      <c r="C9">
        <v>3867</v>
      </c>
      <c r="D9">
        <v>-3629.21</v>
      </c>
      <c r="E9">
        <v>186.59</v>
      </c>
      <c r="F9">
        <v>4334</v>
      </c>
      <c r="G9">
        <v>-4147.41</v>
      </c>
    </row>
    <row r="10" spans="1:7" x14ac:dyDescent="0.3">
      <c r="A10" s="19" t="s">
        <v>34</v>
      </c>
      <c r="B10">
        <v>50508.78</v>
      </c>
      <c r="C10">
        <v>73619</v>
      </c>
      <c r="D10">
        <v>-23110.22</v>
      </c>
      <c r="E10">
        <v>73327.139999999985</v>
      </c>
      <c r="F10">
        <v>117340</v>
      </c>
      <c r="G10">
        <v>-44012.86</v>
      </c>
    </row>
    <row r="11" spans="1:7" x14ac:dyDescent="0.3">
      <c r="A11" s="19" t="s">
        <v>8</v>
      </c>
    </row>
    <row r="12" spans="1:7" x14ac:dyDescent="0.3">
      <c r="A12" s="20" t="s">
        <v>9</v>
      </c>
      <c r="B12">
        <v>21977.81</v>
      </c>
      <c r="C12">
        <v>24296</v>
      </c>
      <c r="D12">
        <v>2318.19</v>
      </c>
      <c r="E12">
        <v>23442.63</v>
      </c>
      <c r="F12">
        <v>40284</v>
      </c>
      <c r="G12">
        <v>16841.37</v>
      </c>
    </row>
    <row r="13" spans="1:7" x14ac:dyDescent="0.3">
      <c r="A13" s="20" t="s">
        <v>10</v>
      </c>
      <c r="B13">
        <v>35166.6</v>
      </c>
      <c r="C13">
        <v>45327.25</v>
      </c>
      <c r="D13">
        <v>10160.65</v>
      </c>
      <c r="E13">
        <v>34266.400000000001</v>
      </c>
      <c r="F13">
        <v>52415.5</v>
      </c>
      <c r="G13">
        <v>18149.099999999999</v>
      </c>
    </row>
    <row r="14" spans="1:7" x14ac:dyDescent="0.3">
      <c r="A14" s="20" t="s">
        <v>11</v>
      </c>
      <c r="B14">
        <v>10830.99</v>
      </c>
      <c r="C14">
        <v>13210</v>
      </c>
      <c r="D14">
        <v>2379.0100000000002</v>
      </c>
      <c r="E14">
        <v>9078.01</v>
      </c>
      <c r="F14">
        <v>14447</v>
      </c>
      <c r="G14">
        <v>5368.99</v>
      </c>
    </row>
    <row r="15" spans="1:7" x14ac:dyDescent="0.3">
      <c r="A15" s="19" t="s">
        <v>35</v>
      </c>
      <c r="B15">
        <v>67975.400000000009</v>
      </c>
      <c r="C15">
        <v>82833.25</v>
      </c>
      <c r="D15">
        <v>14857.85</v>
      </c>
      <c r="E15">
        <v>66787.039999999994</v>
      </c>
      <c r="F15">
        <v>107146.5</v>
      </c>
      <c r="G15">
        <v>40359.46</v>
      </c>
    </row>
    <row r="16" spans="1:7" x14ac:dyDescent="0.3">
      <c r="A16" s="19" t="s">
        <v>31</v>
      </c>
      <c r="B16">
        <v>118484.18000000001</v>
      </c>
      <c r="C16">
        <v>156452.25</v>
      </c>
      <c r="D16">
        <v>-8252.3700000000026</v>
      </c>
      <c r="E16">
        <v>140114.18</v>
      </c>
      <c r="F16">
        <v>224486.5</v>
      </c>
      <c r="G16">
        <v>-3653.4000000000033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5B6241-9AB7-4A24-9389-9F84346F9F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Before</vt:lpstr>
      <vt:lpstr>After</vt:lpstr>
      <vt:lpstr>Recreated using pivot tables</vt:lpstr>
    </vt:vector>
  </TitlesOfParts>
  <Company>Excelguru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Puls</dc:creator>
  <cp:lastModifiedBy>user</cp:lastModifiedBy>
  <dcterms:created xsi:type="dcterms:W3CDTF">2014-02-14T06:20:30Z</dcterms:created>
  <dcterms:modified xsi:type="dcterms:W3CDTF">2026-05-28T15:54:00Z</dcterms:modified>
</cp:coreProperties>
</file>